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<sst xmlns="http://schemas.openxmlformats.org/spreadsheetml/2006/main" count="33" uniqueCount="30">
  <si>
    <t>Haaland Equation – Friction Factor Calculator</t>
  </si>
  <si>
    <t>Enter fluid and pipe properties in the yellow cells. The sheet automatically computes Reynolds number, relative roughness, and friction factor using the Haaland equation. Converts EE units to SI internally.</t>
  </si>
  <si>
    <t>USER INPUTS</t>
  </si>
  <si>
    <t>Variable</t>
  </si>
  <si>
    <t>Description</t>
  </si>
  <si>
    <t>EE Unit</t>
  </si>
  <si>
    <t>Value</t>
  </si>
  <si>
    <t>μ</t>
  </si>
  <si>
    <t>Dynamic viscosity</t>
  </si>
  <si>
    <t>lbm/ft·s</t>
  </si>
  <si>
    <t>ρ</t>
  </si>
  <si>
    <t>Density</t>
  </si>
  <si>
    <t>lbm/ft³</t>
  </si>
  <si>
    <t>***Re and f are dimensionless values***</t>
  </si>
  <si>
    <t>What this means? -&gt;</t>
  </si>
  <si>
    <t>EE or SI system doesn't matter. Just make sure that every thing is in feet or meters respectively</t>
  </si>
  <si>
    <t>V</t>
  </si>
  <si>
    <t>Flow velocity</t>
  </si>
  <si>
    <t>ft/s</t>
  </si>
  <si>
    <t>D</t>
  </si>
  <si>
    <t>Pipe diameter</t>
  </si>
  <si>
    <t>ft</t>
  </si>
  <si>
    <t>ε</t>
  </si>
  <si>
    <t>Pipe roughness</t>
  </si>
  <si>
    <t>CALCULATED VALUES (DO NOT EDIT)</t>
  </si>
  <si>
    <t>Reynolds number (Re)</t>
  </si>
  <si>
    <t>Make sure that roughness is in m typically</t>
  </si>
  <si>
    <t>Relative roughness (ε/D)</t>
  </si>
  <si>
    <t>Friciton Factor</t>
  </si>
  <si>
    <t>Flow Regime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</si>
</sst>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10</xdr:row>
      <xdr:rowOff>76200</xdr:rowOff>
    </xdr:from>
    <xdr:ext cx="1828800" cy="2409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</cols>
  <sheetData>
    <row r="1">
      <c r="A1" s="1" t="s">
        <v>0</v>
      </c>
    </row>
    <row r="2" ht="46.5" customHeight="1">
      <c r="A2" s="2" t="s">
        <v>1</v>
      </c>
      <c r="I2" s="2"/>
      <c r="J2" s="2"/>
      <c r="K2" s="2"/>
    </row>
    <row r="4">
      <c r="A4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</row>
    <row r="6">
      <c r="A6" s="4" t="s">
        <v>7</v>
      </c>
      <c r="B6" s="4" t="s">
        <v>8</v>
      </c>
      <c r="C6" s="4" t="s">
        <v>9</v>
      </c>
      <c r="D6" s="5">
        <f>6.556*10^-4</f>
        <v>0.0006556</v>
      </c>
    </row>
    <row r="7">
      <c r="A7" s="4" t="s">
        <v>10</v>
      </c>
      <c r="B7" s="4" t="s">
        <v>11</v>
      </c>
      <c r="C7" s="4" t="s">
        <v>12</v>
      </c>
      <c r="D7" s="5">
        <v>62.3</v>
      </c>
      <c r="F7" s="6" t="s">
        <v>13</v>
      </c>
      <c r="G7" s="7" t="s">
        <v>14</v>
      </c>
      <c r="H7" s="7" t="s">
        <v>15</v>
      </c>
    </row>
    <row r="8">
      <c r="A8" s="4" t="s">
        <v>16</v>
      </c>
      <c r="B8" s="4" t="s">
        <v>17</v>
      </c>
      <c r="C8" s="4" t="s">
        <v>18</v>
      </c>
      <c r="D8" s="5">
        <v>3.662</v>
      </c>
    </row>
    <row r="9">
      <c r="A9" s="4" t="s">
        <v>19</v>
      </c>
      <c r="B9" s="4" t="s">
        <v>20</v>
      </c>
      <c r="C9" s="4" t="s">
        <v>21</v>
      </c>
      <c r="D9" s="5">
        <v>0.0625</v>
      </c>
    </row>
    <row r="10">
      <c r="A10" s="4" t="s">
        <v>22</v>
      </c>
      <c r="B10" s="4" t="s">
        <v>23</v>
      </c>
      <c r="C10" s="4" t="s">
        <v>21</v>
      </c>
      <c r="D10" s="5">
        <f>5*10^-6</f>
        <v>0.000005</v>
      </c>
    </row>
    <row r="12">
      <c r="A12" s="3" t="s">
        <v>24</v>
      </c>
    </row>
    <row r="13">
      <c r="A13" s="4" t="s">
        <v>25</v>
      </c>
      <c r="B13" s="4" t="s">
        <v>6</v>
      </c>
      <c r="F13" s="4" t="s">
        <v>26</v>
      </c>
    </row>
    <row r="14">
      <c r="A14" s="4" t="s">
        <v>25</v>
      </c>
      <c r="B14" s="8">
        <f>((D7)*(D8)*(D9))/(D6)</f>
        <v>21749.40894</v>
      </c>
    </row>
    <row r="15">
      <c r="A15" s="4" t="s">
        <v>27</v>
      </c>
      <c r="B15" s="4">
        <f>D10/D9</f>
        <v>0.00008</v>
      </c>
    </row>
    <row r="16">
      <c r="A16" s="4" t="s">
        <v>28</v>
      </c>
      <c r="B16" s="4">
        <f>POWER(-1.8*LOG10(POWER(B15/3.7,1.11)+6.9/B14),-2)
</f>
        <v>0.02534549785</v>
      </c>
    </row>
    <row r="17">
      <c r="A17" s="4" t="s">
        <v>29</v>
      </c>
      <c r="B17" s="8" t="str">
        <f>IF(B14&lt;2000,"Laminar",IF(B14&lt;=4000,"Transitional","Turbulent"))</f>
        <v>Turbulent</v>
      </c>
    </row>
  </sheetData>
  <mergeCells count="2">
    <mergeCell ref="A1:H1"/>
    <mergeCell ref="A2:H2"/>
  </mergeCells>
  <drawing r:id="rId1"/>
</worksheet>
</file>