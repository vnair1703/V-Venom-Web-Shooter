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 Units" sheetId="1" r:id="rId5"/>
    <sheet state="visible" name="Churchill – EE Units" sheetId="2" r:id="rId6"/>
  </sheets>
  <definedNames/>
  <calcPr/>
</workbook>
</file>

<file path=xl/sharedStrings.xml><?xml version="1.0" encoding="utf-8"?>
<sst xmlns="http://schemas.openxmlformats.org/spreadsheetml/2006/main" count="77" uniqueCount="51">
  <si>
    <t>Churchill Equation – Friction Factor Calculator</t>
  </si>
  <si>
    <t>Churchill Equation – Friction Factor Calculator (EE Units)</t>
  </si>
  <si>
    <t>Enter fluid/pipe properties in EE units (yellow cells). Converts to SI internally and auto-calculates Re, Churchill A, B, and friction factor.</t>
  </si>
  <si>
    <t>USER INPUTS</t>
  </si>
  <si>
    <t>HOW TO USE (EE UNITS):</t>
  </si>
  <si>
    <t>Enter fluid and pipe properties in the yellow cells. The sheet automatically computes Reynolds number, Churchill A, Churchill B, and the Darcy friction factor. Uses SI units.</t>
  </si>
  <si>
    <t>HOW TO USE THIS CALCULATOR:</t>
  </si>
  <si>
    <t>Variable</t>
  </si>
  <si>
    <t>Description</t>
  </si>
  <si>
    <t>Unit</t>
  </si>
  <si>
    <t>Value</t>
  </si>
  <si>
    <t>μ</t>
  </si>
  <si>
    <t>Dynamic viscosity</t>
  </si>
  <si>
    <t>Pa·s (kg/(m*s))</t>
  </si>
  <si>
    <t>EE Unit</t>
  </si>
  <si>
    <t>1. Enter all variables in EE units (yellow cells)</t>
  </si>
  <si>
    <t>lbm/ft*s</t>
  </si>
  <si>
    <t>2. Sheet converts to SI internally</t>
  </si>
  <si>
    <t>ρ</t>
  </si>
  <si>
    <t>Density</t>
  </si>
  <si>
    <t>lbm/ft³</t>
  </si>
  <si>
    <t>3. Churchill equation remains valid</t>
  </si>
  <si>
    <t>V</t>
  </si>
  <si>
    <t>Flow velocity</t>
  </si>
  <si>
    <t>ft/s</t>
  </si>
  <si>
    <t>4. Re, A, B, and friction factor are auto-calculated</t>
  </si>
  <si>
    <t>D</t>
  </si>
  <si>
    <t>Pipe diameter</t>
  </si>
  <si>
    <t>ft</t>
  </si>
  <si>
    <t>ε</t>
  </si>
  <si>
    <t>Pipe roughness</t>
  </si>
  <si>
    <t>ε/D</t>
  </si>
  <si>
    <t>Relative roughness</t>
  </si>
  <si>
    <t>–</t>
  </si>
  <si>
    <t>1. Enter fluid and pipe data in yellow input cells</t>
  </si>
  <si>
    <t>kg/m³</t>
  </si>
  <si>
    <t>2. Re, Churchill A, B, and friction factor are auto-calculated</t>
  </si>
  <si>
    <t>m/s</t>
  </si>
  <si>
    <t>3. Churchill equation is valid for all flow regimes</t>
  </si>
  <si>
    <t>m</t>
  </si>
  <si>
    <t>4. Use consistent SI units (m, m/s, Pa·s, kg/m³)</t>
  </si>
  <si>
    <t>Pipe absolute roughness</t>
  </si>
  <si>
    <t>CALCULATED VALUES (DO NOT EDIT)</t>
  </si>
  <si>
    <t>Parameter</t>
  </si>
  <si>
    <t>Reynolds number (Re)</t>
  </si>
  <si>
    <t>Churchill A</t>
  </si>
  <si>
    <t>Churchill B</t>
  </si>
  <si>
    <t>Combined term</t>
  </si>
  <si>
    <t>Friction Factor (Churchill Equation)</t>
  </si>
  <si>
    <t>Friction Factor (Churchill, EE Units)</t>
  </si>
  <si>
    <t>Flow Regime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</si>
</sst>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11</xdr:row>
      <xdr:rowOff>209550</xdr:rowOff>
    </xdr:from>
    <xdr:ext cx="1838325" cy="2438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12</xdr:row>
      <xdr:rowOff>133350</xdr:rowOff>
    </xdr:from>
    <xdr:ext cx="2743200" cy="3638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63"/>
  </cols>
  <sheetData>
    <row r="1">
      <c r="A1" s="2" t="s">
        <v>0</v>
      </c>
    </row>
    <row r="2">
      <c r="A2" s="3" t="s">
        <v>5</v>
      </c>
    </row>
    <row r="4">
      <c r="A4" s="4" t="s">
        <v>3</v>
      </c>
    </row>
    <row r="5">
      <c r="E5" s="1" t="s">
        <v>6</v>
      </c>
    </row>
    <row r="6">
      <c r="A6" s="4" t="s">
        <v>7</v>
      </c>
      <c r="B6" s="4" t="s">
        <v>8</v>
      </c>
      <c r="C6" s="4" t="s">
        <v>9</v>
      </c>
      <c r="D6" s="4" t="s">
        <v>10</v>
      </c>
    </row>
    <row r="7">
      <c r="A7" s="1" t="s">
        <v>11</v>
      </c>
      <c r="B7" s="1" t="s">
        <v>12</v>
      </c>
      <c r="C7" s="1" t="s">
        <v>13</v>
      </c>
      <c r="D7" s="5">
        <f>6.556*10^-4</f>
        <v>0.0006556</v>
      </c>
      <c r="E7" s="1" t="s">
        <v>34</v>
      </c>
    </row>
    <row r="8">
      <c r="A8" s="1" t="s">
        <v>18</v>
      </c>
      <c r="B8" s="1" t="s">
        <v>19</v>
      </c>
      <c r="C8" s="1" t="s">
        <v>35</v>
      </c>
      <c r="D8" s="5">
        <v>62.3</v>
      </c>
      <c r="E8" s="1" t="s">
        <v>36</v>
      </c>
    </row>
    <row r="9">
      <c r="A9" s="1" t="s">
        <v>22</v>
      </c>
      <c r="B9" s="1" t="s">
        <v>23</v>
      </c>
      <c r="C9" s="1" t="s">
        <v>37</v>
      </c>
      <c r="D9" s="5">
        <v>2.64</v>
      </c>
      <c r="E9" s="1" t="s">
        <v>38</v>
      </c>
    </row>
    <row r="10">
      <c r="A10" s="1" t="s">
        <v>26</v>
      </c>
      <c r="B10" s="1" t="s">
        <v>27</v>
      </c>
      <c r="C10" s="1" t="s">
        <v>39</v>
      </c>
      <c r="D10" s="5">
        <v>0.06</v>
      </c>
      <c r="E10" s="1" t="s">
        <v>40</v>
      </c>
    </row>
    <row r="11">
      <c r="A11" s="1" t="s">
        <v>29</v>
      </c>
      <c r="B11" s="1" t="s">
        <v>41</v>
      </c>
      <c r="C11" s="1" t="s">
        <v>39</v>
      </c>
      <c r="D11" s="5">
        <v>4.5E-5</v>
      </c>
    </row>
    <row r="12">
      <c r="A12" s="1" t="s">
        <v>31</v>
      </c>
      <c r="B12" s="1" t="s">
        <v>32</v>
      </c>
      <c r="C12" s="1" t="s">
        <v>33</v>
      </c>
      <c r="D12" s="6">
        <f>D11/D10</f>
        <v>0.00075</v>
      </c>
    </row>
    <row r="14">
      <c r="A14" s="4" t="s">
        <v>42</v>
      </c>
    </row>
    <row r="16">
      <c r="A16" s="4" t="s">
        <v>43</v>
      </c>
      <c r="B16" s="1" t="s">
        <v>10</v>
      </c>
    </row>
    <row r="17">
      <c r="A17" s="1" t="s">
        <v>44</v>
      </c>
      <c r="B17" s="6">
        <f>D8*D9*D10/D7</f>
        <v>15052.34899</v>
      </c>
    </row>
    <row r="18">
      <c r="A18" s="1" t="s">
        <v>45</v>
      </c>
      <c r="B18" s="6">
        <f>(2.457*LN(1/((7/B17)^0.9+0.27*D12)))^16</f>
        <v>3.06467E+19</v>
      </c>
    </row>
    <row r="19">
      <c r="A19" s="1" t="s">
        <v>46</v>
      </c>
      <c r="B19" s="7">
        <f>(37530/B17)^16</f>
        <v>2230429.838</v>
      </c>
    </row>
    <row r="20">
      <c r="A20" s="1" t="s">
        <v>47</v>
      </c>
      <c r="B20" s="7">
        <f>((8/B17)^12+(B18+B19)^(-3/2))</f>
        <v>0</v>
      </c>
    </row>
    <row r="23">
      <c r="A23" s="4" t="s">
        <v>48</v>
      </c>
      <c r="B23" s="6">
        <f>8*((B20)^(1/12))</f>
        <v>0.02932865139</v>
      </c>
    </row>
    <row r="26">
      <c r="A26" s="4" t="s">
        <v>50</v>
      </c>
      <c r="B26" s="6" t="str">
        <f>IF(B17&lt;2300,"Laminar",IF(B17&lt;4000,"Transitional","Turbulent"))</f>
        <v>Turbulent</v>
      </c>
    </row>
  </sheetData>
  <mergeCells count="3">
    <mergeCell ref="A1:H1"/>
    <mergeCell ref="A2:H2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1</v>
      </c>
    </row>
    <row r="2">
      <c r="A2" s="1" t="s">
        <v>2</v>
      </c>
    </row>
    <row r="4">
      <c r="A4" s="1" t="s">
        <v>3</v>
      </c>
      <c r="E4" s="1" t="s">
        <v>4</v>
      </c>
    </row>
    <row r="6">
      <c r="A6" s="1" t="str">
        <f>#REF!/#REF!</f>
        <v>#REF!</v>
      </c>
      <c r="B6" s="1" t="s">
        <v>8</v>
      </c>
      <c r="C6" s="1" t="s">
        <v>14</v>
      </c>
      <c r="D6" s="1" t="s">
        <v>10</v>
      </c>
      <c r="E6" s="1" t="s">
        <v>15</v>
      </c>
    </row>
    <row r="7">
      <c r="A7" s="1" t="s">
        <v>11</v>
      </c>
      <c r="B7" s="1" t="s">
        <v>12</v>
      </c>
      <c r="C7" s="1" t="s">
        <v>16</v>
      </c>
      <c r="D7" s="1">
        <v>0.0992</v>
      </c>
      <c r="E7" s="1" t="s">
        <v>17</v>
      </c>
    </row>
    <row r="8">
      <c r="A8" s="1" t="s">
        <v>18</v>
      </c>
      <c r="B8" s="1" t="s">
        <v>19</v>
      </c>
      <c r="C8" s="1" t="s">
        <v>20</v>
      </c>
      <c r="D8" s="1">
        <v>55.8</v>
      </c>
      <c r="E8" s="1" t="s">
        <v>21</v>
      </c>
    </row>
    <row r="9">
      <c r="A9" s="1" t="s">
        <v>22</v>
      </c>
      <c r="B9" s="1" t="s">
        <v>23</v>
      </c>
      <c r="C9" s="1" t="s">
        <v>24</v>
      </c>
      <c r="D9" s="1">
        <v>20.282</v>
      </c>
      <c r="E9" s="1" t="s">
        <v>25</v>
      </c>
    </row>
    <row r="10">
      <c r="A10" s="1" t="s">
        <v>26</v>
      </c>
      <c r="B10" s="1" t="s">
        <v>27</v>
      </c>
      <c r="C10" s="1" t="s">
        <v>28</v>
      </c>
      <c r="D10" s="1">
        <v>0.375</v>
      </c>
    </row>
    <row r="11">
      <c r="A11" s="1" t="s">
        <v>29</v>
      </c>
      <c r="B11" s="1" t="s">
        <v>30</v>
      </c>
      <c r="C11" s="1" t="s">
        <v>28</v>
      </c>
      <c r="D11" s="1">
        <v>1.5E-4</v>
      </c>
    </row>
    <row r="12">
      <c r="A12" s="1" t="s">
        <v>31</v>
      </c>
      <c r="B12" s="1" t="s">
        <v>32</v>
      </c>
      <c r="C12" s="1" t="s">
        <v>33</v>
      </c>
      <c r="D12" s="6">
        <f>D11/D10</f>
        <v>0.0004</v>
      </c>
    </row>
    <row r="15">
      <c r="A15" s="1" t="s">
        <v>42</v>
      </c>
    </row>
    <row r="16">
      <c r="A16" s="1" t="s">
        <v>43</v>
      </c>
      <c r="B16" s="1" t="s">
        <v>10</v>
      </c>
    </row>
    <row r="17">
      <c r="A17" s="1" t="s">
        <v>44</v>
      </c>
      <c r="B17" s="6">
        <f>D8*D9*D10/D7</f>
        <v>4278.234375</v>
      </c>
    </row>
    <row r="18">
      <c r="A18" s="1" t="s">
        <v>45</v>
      </c>
      <c r="B18" s="6">
        <f>(2.457*LN(1/((7/B17)^0.9+0.27*D12)))^16</f>
        <v>2.44733E+18</v>
      </c>
    </row>
    <row r="19">
      <c r="A19" s="1" t="s">
        <v>46</v>
      </c>
      <c r="B19" s="6">
        <f>(37530/B17)^16</f>
        <v>1.22977E+15</v>
      </c>
    </row>
    <row r="20">
      <c r="A20" s="1" t="s">
        <v>47</v>
      </c>
      <c r="B20" s="7">
        <f>(((8/B17)^12)+((B18+B19)^(-3/2)))</f>
        <v>0</v>
      </c>
    </row>
    <row r="22">
      <c r="A22" s="1" t="s">
        <v>49</v>
      </c>
      <c r="B22" s="6">
        <f>8*((B20)^(1/12))</f>
        <v>0.04022318327</v>
      </c>
    </row>
    <row r="24">
      <c r="A24" s="1" t="s">
        <v>50</v>
      </c>
      <c r="B24" s="6" t="str">
        <f>IF(B17&lt;2300,"Laminar",IF(B17&lt;4000,"Transitional","Turbulent"))</f>
        <v>Turbulent</v>
      </c>
    </row>
  </sheetData>
  <drawing r:id="rId1"/>
</worksheet>
</file>